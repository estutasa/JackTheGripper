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6bb4c9adcdb651/Desktop/Neuroengineering/W25/Neuroinspired Systems Engineering/Block 2/Jack the Gripper/"/>
    </mc:Choice>
  </mc:AlternateContent>
  <xr:revisionPtr revIDLastSave="103" documentId="8_{EB433773-5E46-495C-A1FE-6DB2A65416C9}" xr6:coauthVersionLast="47" xr6:coauthVersionMax="47" xr10:uidLastSave="{6E13735E-C44C-47A7-8C68-901DBFF337C6}"/>
  <bookViews>
    <workbookView xWindow="-98" yWindow="-98" windowWidth="21795" windowHeight="12975" xr2:uid="{B1DD1C8F-62BF-4465-A29B-BA6E6CD2FC32}"/>
  </bookViews>
  <sheets>
    <sheet name="Tabelle1" sheetId="1" r:id="rId1"/>
  </sheets>
  <definedNames>
    <definedName name="_xlchart.v1.0" hidden="1">Tabelle1!$B$26:$G$26</definedName>
    <definedName name="_xlchart.v1.1" hidden="1">Tabelle1!$A$34:$A$39</definedName>
    <definedName name="_xlchart.v1.2" hidden="1">Tabelle1!$A$34:$A$39</definedName>
    <definedName name="_xlchart.v1.3" hidden="1">Tabelle1!$A$34:$A$39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C26" i="1"/>
  <c r="D26" i="1"/>
  <c r="E26" i="1"/>
  <c r="F26" i="1"/>
  <c r="G26" i="1"/>
  <c r="B26" i="1"/>
  <c r="C25" i="1"/>
  <c r="D25" i="1"/>
  <c r="E25" i="1"/>
  <c r="F25" i="1"/>
  <c r="G25" i="1"/>
  <c r="B25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B23" i="1"/>
  <c r="B22" i="1"/>
  <c r="B21" i="1"/>
  <c r="B20" i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<sst xmlns="http://schemas.openxmlformats.org/spreadsheetml/2006/main" count="27" uniqueCount="17">
  <si>
    <t>Participant ID</t>
  </si>
  <si>
    <t>Item 1 Score</t>
  </si>
  <si>
    <t>Item 2 Score</t>
  </si>
  <si>
    <t>Item 3 Score</t>
  </si>
  <si>
    <t>Item 4 Score</t>
  </si>
  <si>
    <t>Item 5 Score</t>
  </si>
  <si>
    <t>Item 6 Score</t>
  </si>
  <si>
    <t>Item 7 Score</t>
  </si>
  <si>
    <t>Item 8 Score</t>
  </si>
  <si>
    <t>Item 9 Score</t>
  </si>
  <si>
    <t>Item 10 Score</t>
  </si>
  <si>
    <t>Adjusted Scores</t>
  </si>
  <si>
    <t>Participant Sum</t>
  </si>
  <si>
    <t>x2.5</t>
  </si>
  <si>
    <t xml:space="preserve">FINAL AVERGAE SCORE </t>
  </si>
  <si>
    <t>STDEV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</si>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</sst>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C5744EF3-92FC-4E73-BF53-D2EA27749077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60"/>
        <cx:title>
          <cx:tx>
            <cx:txData>
              <cx:v>SUS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SUS Score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745330</xdr:colOff>
      <xdr:row>26</xdr:row>
      <xdr:rowOff>147637</xdr:rowOff>
    </xdr:from>
    <xdr:to>
      <xdr:col>11</xdr:col>
      <xdr:colOff>745330</xdr:colOff>
      <xdr:row>41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BBECE78A-16F4-A97B-49B9-CB77805844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5330" y="4891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BAF3-1660-48FE-B844-B255C56E1469}">
  <dimension ref="A1:G39"/>
  <sheetViews>
    <sheetView tabSelected="1" topLeftCell="A15" workbookViewId="0">
      <selection activeCell="A34" sqref="A34:A39"/>
    </sheetView>
  </sheetViews>
  <sheetFormatPr baseColWidth="10" defaultRowHeight="14.25" x14ac:dyDescent="0.45"/>
  <cols>
    <col min="1" max="1" width="10.6640625" style="1"/>
  </cols>
  <sheetData>
    <row r="1" spans="1:7" s="1" customFormat="1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45">
      <c r="A2" s="1" t="s">
        <v>1</v>
      </c>
      <c r="B2">
        <v>3</v>
      </c>
      <c r="C2">
        <v>4</v>
      </c>
      <c r="D2">
        <v>3</v>
      </c>
      <c r="E2">
        <v>3</v>
      </c>
      <c r="F2">
        <v>2</v>
      </c>
      <c r="G2">
        <v>2</v>
      </c>
    </row>
    <row r="3" spans="1:7" x14ac:dyDescent="0.45">
      <c r="A3" s="1" t="s">
        <v>2</v>
      </c>
      <c r="B3">
        <v>3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45">
      <c r="A4" s="1" t="s">
        <v>3</v>
      </c>
      <c r="B4">
        <v>3</v>
      </c>
      <c r="C4">
        <v>5</v>
      </c>
      <c r="D4">
        <v>5</v>
      </c>
      <c r="E4">
        <v>5</v>
      </c>
      <c r="F4">
        <v>5</v>
      </c>
      <c r="G4">
        <v>5</v>
      </c>
    </row>
    <row r="5" spans="1:7" x14ac:dyDescent="0.45">
      <c r="A5" s="1" t="s">
        <v>4</v>
      </c>
      <c r="B5">
        <v>2</v>
      </c>
      <c r="C5">
        <v>1</v>
      </c>
      <c r="D5">
        <v>2</v>
      </c>
      <c r="E5">
        <v>4</v>
      </c>
      <c r="F5">
        <v>2</v>
      </c>
      <c r="G5">
        <v>2</v>
      </c>
    </row>
    <row r="6" spans="1:7" x14ac:dyDescent="0.45">
      <c r="A6" s="1" t="s">
        <v>5</v>
      </c>
      <c r="B6">
        <v>3</v>
      </c>
      <c r="C6">
        <v>3</v>
      </c>
      <c r="D6">
        <v>4</v>
      </c>
      <c r="E6">
        <v>5</v>
      </c>
      <c r="F6">
        <v>5</v>
      </c>
      <c r="G6">
        <v>3</v>
      </c>
    </row>
    <row r="7" spans="1:7" x14ac:dyDescent="0.45">
      <c r="A7" s="1" t="s">
        <v>6</v>
      </c>
      <c r="B7">
        <v>2</v>
      </c>
      <c r="C7">
        <v>2</v>
      </c>
      <c r="D7">
        <v>2</v>
      </c>
      <c r="E7">
        <v>1</v>
      </c>
      <c r="F7">
        <v>4</v>
      </c>
      <c r="G7">
        <v>1</v>
      </c>
    </row>
    <row r="8" spans="1:7" x14ac:dyDescent="0.45">
      <c r="A8" s="1" t="s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</row>
    <row r="9" spans="1:7" x14ac:dyDescent="0.45">
      <c r="A9" s="1" t="s">
        <v>8</v>
      </c>
      <c r="B9">
        <v>3</v>
      </c>
      <c r="C9">
        <v>2</v>
      </c>
      <c r="D9">
        <v>4</v>
      </c>
      <c r="E9">
        <v>1</v>
      </c>
      <c r="F9">
        <v>1</v>
      </c>
      <c r="G9">
        <v>1</v>
      </c>
    </row>
    <row r="10" spans="1:7" x14ac:dyDescent="0.45">
      <c r="A10" s="1" t="s">
        <v>9</v>
      </c>
      <c r="B10">
        <v>4</v>
      </c>
      <c r="C10">
        <v>3</v>
      </c>
      <c r="D10">
        <v>4</v>
      </c>
      <c r="E10">
        <v>5</v>
      </c>
      <c r="F10">
        <v>3</v>
      </c>
      <c r="G10">
        <v>4</v>
      </c>
    </row>
    <row r="11" spans="1:7" x14ac:dyDescent="0.45">
      <c r="A11" s="1" t="s">
        <v>10</v>
      </c>
      <c r="B11">
        <v>1</v>
      </c>
      <c r="C11">
        <v>1</v>
      </c>
      <c r="D11">
        <v>2</v>
      </c>
      <c r="E11">
        <v>1</v>
      </c>
      <c r="F11">
        <v>3</v>
      </c>
      <c r="G11">
        <v>2</v>
      </c>
    </row>
    <row r="13" spans="1:7" ht="15.75" x14ac:dyDescent="0.45">
      <c r="A13" s="3" t="s">
        <v>11</v>
      </c>
    </row>
    <row r="14" spans="1:7" x14ac:dyDescent="0.45">
      <c r="A14" s="1" t="s">
        <v>1</v>
      </c>
      <c r="B14">
        <f>B2-1</f>
        <v>2</v>
      </c>
      <c r="C14">
        <f t="shared" ref="C14:G14" si="0">C2-1</f>
        <v>3</v>
      </c>
      <c r="D14">
        <f t="shared" si="0"/>
        <v>2</v>
      </c>
      <c r="E14">
        <f t="shared" si="0"/>
        <v>2</v>
      </c>
      <c r="F14">
        <f t="shared" si="0"/>
        <v>1</v>
      </c>
      <c r="G14">
        <f t="shared" si="0"/>
        <v>1</v>
      </c>
    </row>
    <row r="15" spans="1:7" x14ac:dyDescent="0.45">
      <c r="A15" s="1" t="s">
        <v>2</v>
      </c>
      <c r="B15">
        <f>5-B3</f>
        <v>2</v>
      </c>
      <c r="C15">
        <f t="shared" ref="C15:G15" si="1">5-C3</f>
        <v>4</v>
      </c>
      <c r="D15">
        <f t="shared" si="1"/>
        <v>4</v>
      </c>
      <c r="E15">
        <f t="shared" si="1"/>
        <v>4</v>
      </c>
      <c r="F15">
        <f t="shared" si="1"/>
        <v>4</v>
      </c>
      <c r="G15">
        <f t="shared" si="1"/>
        <v>4</v>
      </c>
    </row>
    <row r="16" spans="1:7" x14ac:dyDescent="0.45">
      <c r="A16" s="1" t="s">
        <v>3</v>
      </c>
      <c r="B16">
        <f>B4-1</f>
        <v>2</v>
      </c>
      <c r="C16">
        <f t="shared" ref="C16:G16" si="2">C4-1</f>
        <v>4</v>
      </c>
      <c r="D16">
        <f t="shared" si="2"/>
        <v>4</v>
      </c>
      <c r="E16">
        <f t="shared" si="2"/>
        <v>4</v>
      </c>
      <c r="F16">
        <f t="shared" si="2"/>
        <v>4</v>
      </c>
      <c r="G16">
        <f t="shared" si="2"/>
        <v>4</v>
      </c>
    </row>
    <row r="17" spans="1:7" x14ac:dyDescent="0.45">
      <c r="A17" s="1" t="s">
        <v>4</v>
      </c>
      <c r="B17">
        <f>5-B5</f>
        <v>3</v>
      </c>
      <c r="C17">
        <f t="shared" ref="C17:G17" si="3">5-C5</f>
        <v>4</v>
      </c>
      <c r="D17">
        <f t="shared" si="3"/>
        <v>3</v>
      </c>
      <c r="E17">
        <f t="shared" si="3"/>
        <v>1</v>
      </c>
      <c r="F17">
        <f t="shared" si="3"/>
        <v>3</v>
      </c>
      <c r="G17">
        <f t="shared" si="3"/>
        <v>3</v>
      </c>
    </row>
    <row r="18" spans="1:7" x14ac:dyDescent="0.45">
      <c r="A18" s="1" t="s">
        <v>5</v>
      </c>
      <c r="B18">
        <f>B6-1</f>
        <v>2</v>
      </c>
      <c r="C18">
        <f t="shared" ref="C18:G18" si="4">C6-1</f>
        <v>2</v>
      </c>
      <c r="D18">
        <f t="shared" si="4"/>
        <v>3</v>
      </c>
      <c r="E18">
        <f t="shared" si="4"/>
        <v>4</v>
      </c>
      <c r="F18">
        <f t="shared" si="4"/>
        <v>4</v>
      </c>
      <c r="G18">
        <f t="shared" si="4"/>
        <v>2</v>
      </c>
    </row>
    <row r="19" spans="1:7" x14ac:dyDescent="0.45">
      <c r="A19" s="1" t="s">
        <v>6</v>
      </c>
      <c r="B19">
        <f>5-B7</f>
        <v>3</v>
      </c>
      <c r="C19">
        <f t="shared" ref="C19:G19" si="5">5-C7</f>
        <v>3</v>
      </c>
      <c r="D19">
        <f t="shared" si="5"/>
        <v>3</v>
      </c>
      <c r="E19">
        <f t="shared" si="5"/>
        <v>4</v>
      </c>
      <c r="F19">
        <f t="shared" si="5"/>
        <v>1</v>
      </c>
      <c r="G19">
        <f t="shared" si="5"/>
        <v>4</v>
      </c>
    </row>
    <row r="20" spans="1:7" x14ac:dyDescent="0.45">
      <c r="A20" s="1" t="s">
        <v>7</v>
      </c>
      <c r="B20">
        <f>B8-1</f>
        <v>4</v>
      </c>
      <c r="C20">
        <f t="shared" ref="C20:G20" si="6">C8-1</f>
        <v>4</v>
      </c>
      <c r="D20">
        <f t="shared" si="6"/>
        <v>4</v>
      </c>
      <c r="E20">
        <f t="shared" si="6"/>
        <v>4</v>
      </c>
      <c r="F20">
        <f t="shared" si="6"/>
        <v>4</v>
      </c>
      <c r="G20">
        <f t="shared" si="6"/>
        <v>4</v>
      </c>
    </row>
    <row r="21" spans="1:7" x14ac:dyDescent="0.45">
      <c r="A21" s="1" t="s">
        <v>8</v>
      </c>
      <c r="B21">
        <f>5-B9</f>
        <v>2</v>
      </c>
      <c r="C21">
        <f t="shared" ref="C21:G21" si="7">5-C9</f>
        <v>3</v>
      </c>
      <c r="D21">
        <f t="shared" si="7"/>
        <v>1</v>
      </c>
      <c r="E21">
        <f t="shared" si="7"/>
        <v>4</v>
      </c>
      <c r="F21">
        <f t="shared" si="7"/>
        <v>4</v>
      </c>
      <c r="G21">
        <f t="shared" si="7"/>
        <v>4</v>
      </c>
    </row>
    <row r="22" spans="1:7" x14ac:dyDescent="0.45">
      <c r="A22" s="1" t="s">
        <v>9</v>
      </c>
      <c r="B22">
        <f>B10-1</f>
        <v>3</v>
      </c>
      <c r="C22">
        <f t="shared" ref="C22:G22" si="8">C10-1</f>
        <v>2</v>
      </c>
      <c r="D22">
        <f t="shared" si="8"/>
        <v>3</v>
      </c>
      <c r="E22">
        <f t="shared" si="8"/>
        <v>4</v>
      </c>
      <c r="F22">
        <f t="shared" si="8"/>
        <v>2</v>
      </c>
      <c r="G22">
        <f t="shared" si="8"/>
        <v>3</v>
      </c>
    </row>
    <row r="23" spans="1:7" x14ac:dyDescent="0.45">
      <c r="A23" s="1" t="s">
        <v>10</v>
      </c>
      <c r="B23">
        <f>5-B11</f>
        <v>4</v>
      </c>
      <c r="C23">
        <f t="shared" ref="C23:G23" si="9">5-C11</f>
        <v>4</v>
      </c>
      <c r="D23">
        <f t="shared" si="9"/>
        <v>3</v>
      </c>
      <c r="E23">
        <f t="shared" si="9"/>
        <v>4</v>
      </c>
      <c r="F23">
        <f t="shared" si="9"/>
        <v>2</v>
      </c>
      <c r="G23">
        <f t="shared" si="9"/>
        <v>3</v>
      </c>
    </row>
    <row r="25" spans="1:7" x14ac:dyDescent="0.45">
      <c r="A25" s="1" t="s">
        <v>12</v>
      </c>
      <c r="B25">
        <f>SUM(B14:B23)</f>
        <v>27</v>
      </c>
      <c r="C25">
        <f t="shared" ref="C25:G25" si="10">SUM(C14:C23)</f>
        <v>33</v>
      </c>
      <c r="D25">
        <f t="shared" si="10"/>
        <v>30</v>
      </c>
      <c r="E25">
        <f t="shared" si="10"/>
        <v>35</v>
      </c>
      <c r="F25">
        <f t="shared" si="10"/>
        <v>29</v>
      </c>
      <c r="G25">
        <f t="shared" si="10"/>
        <v>32</v>
      </c>
    </row>
    <row r="26" spans="1:7" ht="15.75" x14ac:dyDescent="0.45">
      <c r="A26" s="3" t="s">
        <v>13</v>
      </c>
      <c r="B26">
        <f>B25*2.5</f>
        <v>67.5</v>
      </c>
      <c r="C26">
        <f t="shared" ref="C26:G26" si="11">C25*2.5</f>
        <v>82.5</v>
      </c>
      <c r="D26">
        <f t="shared" si="11"/>
        <v>75</v>
      </c>
      <c r="E26">
        <f t="shared" si="11"/>
        <v>87.5</v>
      </c>
      <c r="F26">
        <f t="shared" si="11"/>
        <v>72.5</v>
      </c>
      <c r="G26">
        <f t="shared" si="11"/>
        <v>80</v>
      </c>
    </row>
    <row r="27" spans="1:7" ht="15.75" x14ac:dyDescent="0.45">
      <c r="A27" s="3"/>
    </row>
    <row r="28" spans="1:7" ht="15.75" x14ac:dyDescent="0.45">
      <c r="A28" s="3" t="s">
        <v>14</v>
      </c>
      <c r="D28" s="1">
        <f>AVERAGE(B26:G26)</f>
        <v>77.5</v>
      </c>
    </row>
    <row r="29" spans="1:7" ht="15.75" x14ac:dyDescent="0.45">
      <c r="A29" s="3" t="s">
        <v>15</v>
      </c>
      <c r="D29">
        <f>_xlfn.STDEV.S(B26:G26)</f>
        <v>7.245688373094719</v>
      </c>
    </row>
    <row r="30" spans="1:7" ht="15.75" x14ac:dyDescent="0.45">
      <c r="A30" s="3"/>
    </row>
    <row r="31" spans="1:7" ht="15.75" x14ac:dyDescent="0.45">
      <c r="A31" s="3"/>
    </row>
    <row r="32" spans="1:7" ht="15.75" x14ac:dyDescent="0.45">
      <c r="A32" s="3"/>
    </row>
    <row r="33" spans="1:1" ht="15.75" x14ac:dyDescent="0.45">
      <c r="A33" s="3" t="s">
        <v>16</v>
      </c>
    </row>
    <row r="34" spans="1:1" x14ac:dyDescent="0.45">
      <c r="A34" s="4">
        <v>67.5</v>
      </c>
    </row>
    <row r="35" spans="1:1" x14ac:dyDescent="0.45">
      <c r="A35" s="4">
        <v>82.5</v>
      </c>
    </row>
    <row r="36" spans="1:1" x14ac:dyDescent="0.45">
      <c r="A36" s="2">
        <v>75</v>
      </c>
    </row>
    <row r="37" spans="1:1" x14ac:dyDescent="0.45">
      <c r="A37" s="2">
        <v>87.5</v>
      </c>
    </row>
    <row r="38" spans="1:1" x14ac:dyDescent="0.45">
      <c r="A38" s="2">
        <v>72.5</v>
      </c>
    </row>
    <row r="39" spans="1:1" x14ac:dyDescent="0.45">
      <c r="A39" s="2">
        <v>80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Elena Taube</dc:creator>
  <cp:lastModifiedBy>Sara Elena Taube</cp:lastModifiedBy>
  <dcterms:created xsi:type="dcterms:W3CDTF">2026-01-30T14:37:30Z</dcterms:created>
  <dcterms:modified xsi:type="dcterms:W3CDTF">2026-01-30T15:28:05Z</dcterms:modified>
</cp:coreProperties>
</file>